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avance Intermediate level\Intermediate data practice sheet\Sales Summery Assessment Practice Data Sheet\Lookup Exsise Data sheet\Intermediate Leval Projects\"/>
    </mc:Choice>
  </mc:AlternateContent>
  <xr:revisionPtr revIDLastSave="0" documentId="13_ncr:1_{A89D8A88-F8D6-4A0F-9A1F-39F57CC822C0}" xr6:coauthVersionLast="47" xr6:coauthVersionMax="47" xr10:uidLastSave="{00000000-0000-0000-0000-000000000000}"/>
  <bookViews>
    <workbookView xWindow="-120" yWindow="-120" windowWidth="20730" windowHeight="11040" xr2:uid="{8DD3E479-2EB5-42C4-AA0F-A93CA623484D}"/>
  </bookViews>
  <sheets>
    <sheet name="BMI Sheet 1" sheetId="1" r:id="rId1"/>
    <sheet name="Sheet1" sheetId="3" r:id="rId2"/>
    <sheet name="BMI Chart Visualization 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12" i="1"/>
  <c r="H16" i="1"/>
  <c r="G4" i="1"/>
  <c r="G5" i="1"/>
  <c r="G6" i="1"/>
  <c r="G12" i="1"/>
  <c r="G16" i="1"/>
  <c r="B6" i="2" s="1"/>
  <c r="B5" i="2"/>
  <c r="B4" i="2"/>
  <c r="A16" i="1"/>
  <c r="A17" i="1"/>
  <c r="A8" i="1"/>
  <c r="A9" i="1"/>
  <c r="A10" i="1"/>
  <c r="A11" i="1"/>
  <c r="A12" i="1"/>
  <c r="A13" i="1"/>
  <c r="A14" i="1"/>
  <c r="A15" i="1"/>
  <c r="A4" i="1"/>
  <c r="A5" i="1"/>
  <c r="A6" i="1"/>
  <c r="A7" i="1"/>
  <c r="A3" i="1"/>
  <c r="G3" i="1"/>
  <c r="B3" i="2" l="1"/>
</calcChain>
</file>

<file path=xl/sharedStrings.xml><?xml version="1.0" encoding="utf-8"?>
<sst xmlns="http://schemas.openxmlformats.org/spreadsheetml/2006/main" count="50" uniqueCount="38">
  <si>
    <t>No.</t>
  </si>
  <si>
    <t>Name</t>
  </si>
  <si>
    <t>Age</t>
  </si>
  <si>
    <t>Gender</t>
  </si>
  <si>
    <t>Weight (kg)</t>
  </si>
  <si>
    <t>BMI</t>
  </si>
  <si>
    <t>BMI Category</t>
  </si>
  <si>
    <t xml:space="preserve"> BMI Sheet 1</t>
  </si>
  <si>
    <t>Male</t>
  </si>
  <si>
    <t>Female</t>
  </si>
  <si>
    <t>Other</t>
  </si>
  <si>
    <t> Underweight</t>
  </si>
  <si>
    <t> Normal</t>
  </si>
  <si>
    <t> Overweight</t>
  </si>
  <si>
    <t>Obese</t>
  </si>
  <si>
    <t>From</t>
  </si>
  <si>
    <t>to</t>
  </si>
  <si>
    <t>Data</t>
  </si>
  <si>
    <t xml:space="preserve"> </t>
  </si>
  <si>
    <t>BMI Chart Visualization</t>
  </si>
  <si>
    <t xml:space="preserve">BMI </t>
  </si>
  <si>
    <t>COLOR</t>
  </si>
  <si>
    <t>Height (m)</t>
  </si>
  <si>
    <t>Rahul</t>
  </si>
  <si>
    <t>Chetan</t>
  </si>
  <si>
    <t>Mayur</t>
  </si>
  <si>
    <t>Vishal</t>
  </si>
  <si>
    <t>Ganesh</t>
  </si>
  <si>
    <t>Mayuri</t>
  </si>
  <si>
    <t>Yogita</t>
  </si>
  <si>
    <t>Sunita</t>
  </si>
  <si>
    <t>Rajveer</t>
  </si>
  <si>
    <t>Kalpesh</t>
  </si>
  <si>
    <t>Divya</t>
  </si>
  <si>
    <t>Gurav</t>
  </si>
  <si>
    <t>Soham</t>
  </si>
  <si>
    <t>Dipak</t>
  </si>
  <si>
    <t>Dipali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</si>
</sst>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rgb="FF000000"/>
      <name val="Times New Roman"/>
      <family val="1"/>
    </font>
    <font>
      <b/>
      <sz val="14"/>
      <color rgb="FF000000"/>
      <name val="Arial Rounded MT Bold"/>
      <family val="2"/>
    </font>
    <font>
      <sz val="14"/>
      <color theme="1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2" fontId="0" fillId="0" borderId="1" xfId="0" applyNumberFormat="1" applyBorder="1"/>
    <xf numFmtId="0" fontId="2" fillId="0" borderId="1" xfId="0" applyFont="1" applyBorder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rgb="FF0070C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</dxfs>
  <tableStyles count="2" defaultTableStyle="TableStyleMedium2" defaultPivotStyle="PivotStyleLight16">
    <tableStyle name="PivotTable Style 1" table="0" count="1" xr9:uid="{13E7424C-031F-4C5B-91A6-84008CCAE53C}">
      <tableStyleElement type="wholeTable" dxfId="16"/>
    </tableStyle>
    <tableStyle name="Table Style 1" pivot="0" count="1" xr9:uid="{4B230F0A-47CE-4F5E-A2AB-2BD4ED84E475}">
      <tableStyleElement type="secondColumnStripe" size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BMI 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80314426989964"/>
          <c:y val="0.20308329570956221"/>
          <c:w val="0.82722850107142365"/>
          <c:h val="0.54925712417172379"/>
        </c:manualLayout>
      </c:layout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'BMI Chart Visualization 2'!$A$3:$A$6</c:f>
              <c:strCache>
                <c:ptCount val="4"/>
                <c:pt idx="0">
                  <c:v>Mayur</c:v>
                </c:pt>
                <c:pt idx="1">
                  <c:v>Vishal</c:v>
                </c:pt>
                <c:pt idx="2">
                  <c:v>Kalpesh</c:v>
                </c:pt>
                <c:pt idx="3">
                  <c:v>Dipak</c:v>
                </c:pt>
              </c:strCache>
            </c:strRef>
          </c:cat>
          <c:val>
            <c:numRef>
              <c:f>'BMI Chart Visualization 2'!$B$3:$B$6</c:f>
              <c:numCache>
                <c:formatCode>0.00</c:formatCode>
                <c:ptCount val="4"/>
                <c:pt idx="0">
                  <c:v>14.693877551020408</c:v>
                </c:pt>
                <c:pt idx="1">
                  <c:v>31.249999999999993</c:v>
                </c:pt>
                <c:pt idx="2">
                  <c:v>18.365472910927458</c:v>
                </c:pt>
                <c:pt idx="3">
                  <c:v>19.591836734693878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C5-4C8E-9A51-77A3D973F66E}"/>
            </c:ext>
          </c:extLst>
        </c:ser>
        <c:ser>
          <c:idx val="1"/>
          <c:order val="1"/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'BMI Chart Visualization 2'!$A$3:$A$6</c:f>
              <c:strCache>
                <c:ptCount val="4"/>
                <c:pt idx="0">
                  <c:v>Mayur</c:v>
                </c:pt>
                <c:pt idx="1">
                  <c:v>Vishal</c:v>
                </c:pt>
                <c:pt idx="2">
                  <c:v>Kalpesh</c:v>
                </c:pt>
                <c:pt idx="3">
                  <c:v>Dipak</c:v>
                </c:pt>
              </c:strCache>
            </c:strRef>
          </c:cat>
          <c:val>
            <c:numRef>
              <c:f>'BMI Chart Visualization 2'!$C$3:$C$6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C5-4C8E-9A51-77A3D973F6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24785072"/>
        <c:axId val="824786512"/>
      </c:lineChart>
      <c:catAx>
        <c:axId val="82478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86512"/>
        <c:crosses val="autoZero"/>
        <c:auto val="1"/>
        <c:lblAlgn val="ctr"/>
        <c:lblOffset val="100"/>
        <c:noMultiLvlLbl val="0"/>
      </c:catAx>
      <c:valAx>
        <c:axId val="8247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8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9526</xdr:rowOff>
    </xdr:from>
    <xdr:to>
      <xdr:col>8</xdr:col>
      <xdr:colOff>676274</xdr:colOff>
      <xdr:row>14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E6EE19-2CE8-5F78-72DF-65D0A6821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C99A-6D0D-4CD6-A966-8F0D5B93D12A}">
  <dimension ref="A1:R25"/>
  <sheetViews>
    <sheetView tabSelected="1" workbookViewId="0">
      <selection activeCell="H3" sqref="H3"/>
    </sheetView>
  </sheetViews>
  <sheetFormatPr defaultRowHeight="15.75" x14ac:dyDescent="0.25"/>
  <cols>
    <col min="1" max="1" width="5.625" customWidth="1"/>
    <col min="2" max="2" width="12.25" customWidth="1"/>
    <col min="5" max="5" width="11.625" customWidth="1"/>
    <col min="6" max="6" width="11.75" customWidth="1"/>
    <col min="8" max="8" width="11.875" bestFit="1" customWidth="1"/>
    <col min="9" max="9" width="11.75" bestFit="1" customWidth="1"/>
    <col min="10" max="10" width="12.375" bestFit="1" customWidth="1"/>
    <col min="14" max="14" width="13.625" bestFit="1" customWidth="1"/>
  </cols>
  <sheetData>
    <row r="1" spans="1:18" ht="18.75" x14ac:dyDescent="0.3">
      <c r="A1" s="6" t="s">
        <v>7</v>
      </c>
      <c r="B1" s="7"/>
      <c r="C1" s="7"/>
      <c r="D1" s="7"/>
      <c r="E1" s="7"/>
      <c r="F1" s="7"/>
      <c r="G1" s="7"/>
      <c r="H1" s="7"/>
    </row>
    <row r="2" spans="1: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22</v>
      </c>
      <c r="F2" s="1" t="s">
        <v>4</v>
      </c>
      <c r="G2" s="1" t="s">
        <v>5</v>
      </c>
      <c r="H2" s="1" t="s">
        <v>6</v>
      </c>
      <c r="J2" s="3" t="s">
        <v>6</v>
      </c>
      <c r="L2" s="1" t="s">
        <v>15</v>
      </c>
      <c r="M2" s="1" t="s">
        <v>16</v>
      </c>
      <c r="N2" s="1" t="s">
        <v>17</v>
      </c>
      <c r="R2" t="s">
        <v>8</v>
      </c>
    </row>
    <row r="3" spans="1:18" ht="18.75" x14ac:dyDescent="0.3">
      <c r="A3" s="2">
        <f>IFERROR(COUNTA($B$3:B3),"")</f>
        <v>1</v>
      </c>
      <c r="B3" s="2" t="s">
        <v>23</v>
      </c>
      <c r="C3" s="2">
        <v>26</v>
      </c>
      <c r="D3" s="2" t="s">
        <v>8</v>
      </c>
      <c r="E3" s="2">
        <v>1.65</v>
      </c>
      <c r="F3" s="2">
        <v>65</v>
      </c>
      <c r="G3" s="4">
        <f>F3/(E3^2)</f>
        <v>23.875114784205696</v>
      </c>
      <c r="H3" s="2" t="str">
        <f>VLOOKUP(G3,$L$3:$N$6,3,TRUE)</f>
        <v> Overweight</v>
      </c>
      <c r="L3" s="2">
        <v>0</v>
      </c>
      <c r="M3" s="2">
        <v>18.5</v>
      </c>
      <c r="N3" s="5" t="s">
        <v>11</v>
      </c>
      <c r="R3" t="s">
        <v>9</v>
      </c>
    </row>
    <row r="4" spans="1:18" ht="18.75" x14ac:dyDescent="0.3">
      <c r="A4" s="2">
        <f>IFERROR(COUNTA($B$3:B4),"")</f>
        <v>2</v>
      </c>
      <c r="B4" s="2" t="s">
        <v>24</v>
      </c>
      <c r="C4" s="2">
        <v>33</v>
      </c>
      <c r="D4" s="2" t="s">
        <v>8</v>
      </c>
      <c r="E4" s="2">
        <v>1.7</v>
      </c>
      <c r="F4" s="2">
        <v>60</v>
      </c>
      <c r="G4" s="4">
        <f t="shared" ref="G4:G16" si="0">F4/(E4^2)</f>
        <v>20.761245674740486</v>
      </c>
      <c r="H4" s="2" t="str">
        <f t="shared" ref="H4:H16" si="1">VLOOKUP(G4,$L$3:$N$6,3,TRUE)</f>
        <v> Normal</v>
      </c>
      <c r="L4" s="2">
        <v>18.5</v>
      </c>
      <c r="M4" s="2">
        <v>22.9</v>
      </c>
      <c r="N4" s="5" t="s">
        <v>12</v>
      </c>
      <c r="R4" t="s">
        <v>10</v>
      </c>
    </row>
    <row r="5" spans="1:18" ht="18.75" x14ac:dyDescent="0.3">
      <c r="A5" s="2">
        <f>IFERROR(COUNTA($B$3:B5),"")</f>
        <v>3</v>
      </c>
      <c r="B5" s="2" t="s">
        <v>25</v>
      </c>
      <c r="C5" s="2">
        <v>22</v>
      </c>
      <c r="D5" s="2" t="s">
        <v>8</v>
      </c>
      <c r="E5" s="2">
        <v>1.75</v>
      </c>
      <c r="F5" s="2">
        <v>45</v>
      </c>
      <c r="G5" s="4">
        <f t="shared" si="0"/>
        <v>14.693877551020408</v>
      </c>
      <c r="H5" s="2" t="str">
        <f t="shared" si="1"/>
        <v> Underweight</v>
      </c>
      <c r="L5" s="2">
        <v>23</v>
      </c>
      <c r="M5" s="2">
        <v>24.9</v>
      </c>
      <c r="N5" s="5" t="s">
        <v>13</v>
      </c>
    </row>
    <row r="6" spans="1:18" ht="18.75" x14ac:dyDescent="0.3">
      <c r="A6" s="2">
        <f>IFERROR(COUNTA($B$3:B6),"")</f>
        <v>4</v>
      </c>
      <c r="B6" s="2" t="s">
        <v>26</v>
      </c>
      <c r="C6" s="2">
        <v>20</v>
      </c>
      <c r="D6" s="2" t="s">
        <v>9</v>
      </c>
      <c r="E6" s="2">
        <v>1.6</v>
      </c>
      <c r="F6" s="2">
        <v>80</v>
      </c>
      <c r="G6" s="4">
        <f t="shared" si="0"/>
        <v>31.249999999999993</v>
      </c>
      <c r="H6" s="2" t="str">
        <f t="shared" si="1"/>
        <v>Obese</v>
      </c>
      <c r="L6" s="2">
        <v>25</v>
      </c>
      <c r="M6" s="2">
        <v>25</v>
      </c>
      <c r="N6" s="5" t="s">
        <v>14</v>
      </c>
    </row>
    <row r="7" spans="1:18" x14ac:dyDescent="0.25">
      <c r="A7" s="2">
        <f>IFERROR(COUNTA($B$3:B7),"")</f>
        <v>5</v>
      </c>
      <c r="B7" s="2" t="s">
        <v>27</v>
      </c>
      <c r="C7" s="2"/>
      <c r="D7" s="2"/>
      <c r="E7" s="2"/>
      <c r="F7" s="2"/>
      <c r="G7" s="4"/>
      <c r="H7" s="2"/>
    </row>
    <row r="8" spans="1:18" x14ac:dyDescent="0.25">
      <c r="A8" s="2">
        <f>IFERROR(COUNTA($B$3:B8),"")</f>
        <v>6</v>
      </c>
      <c r="B8" s="2" t="s">
        <v>28</v>
      </c>
      <c r="C8" s="2"/>
      <c r="D8" s="2"/>
      <c r="E8" s="2"/>
      <c r="F8" s="2"/>
      <c r="G8" s="4"/>
      <c r="H8" s="2"/>
    </row>
    <row r="9" spans="1:18" x14ac:dyDescent="0.25">
      <c r="A9" s="2">
        <f>IFERROR(COUNTA($B$3:B9),"")</f>
        <v>7</v>
      </c>
      <c r="B9" s="2" t="s">
        <v>29</v>
      </c>
      <c r="C9" s="2"/>
      <c r="D9" s="2"/>
      <c r="E9" s="2"/>
      <c r="F9" s="2"/>
      <c r="G9" s="4"/>
      <c r="H9" s="2"/>
    </row>
    <row r="10" spans="1:18" x14ac:dyDescent="0.25">
      <c r="A10" s="2">
        <f>IFERROR(COUNTA($B$3:B10),"")</f>
        <v>8</v>
      </c>
      <c r="B10" s="2" t="s">
        <v>30</v>
      </c>
      <c r="C10" s="2"/>
      <c r="D10" s="2"/>
      <c r="E10" s="2"/>
      <c r="F10" s="2"/>
      <c r="G10" s="4"/>
      <c r="H10" s="2"/>
      <c r="J10" t="s">
        <v>18</v>
      </c>
    </row>
    <row r="11" spans="1:18" x14ac:dyDescent="0.25">
      <c r="A11" s="2">
        <f>IFERROR(COUNTA($B$3:B11),"")</f>
        <v>9</v>
      </c>
      <c r="B11" s="2" t="s">
        <v>31</v>
      </c>
      <c r="C11" s="2"/>
      <c r="D11" s="2"/>
      <c r="E11" s="2"/>
      <c r="F11" s="2"/>
      <c r="G11" s="4"/>
      <c r="H11" s="2"/>
    </row>
    <row r="12" spans="1:18" x14ac:dyDescent="0.25">
      <c r="A12" s="2">
        <f>IFERROR(COUNTA($B$3:B12),"")</f>
        <v>10</v>
      </c>
      <c r="B12" s="2" t="s">
        <v>32</v>
      </c>
      <c r="C12" s="2">
        <v>22</v>
      </c>
      <c r="D12" s="2" t="s">
        <v>8</v>
      </c>
      <c r="E12" s="2">
        <v>1.65</v>
      </c>
      <c r="F12" s="2">
        <v>50</v>
      </c>
      <c r="G12" s="4">
        <f t="shared" si="0"/>
        <v>18.365472910927458</v>
      </c>
      <c r="H12" s="2" t="str">
        <f t="shared" si="1"/>
        <v> Underweight</v>
      </c>
    </row>
    <row r="13" spans="1:18" x14ac:dyDescent="0.25">
      <c r="A13" s="2">
        <f>IFERROR(COUNTA($B$3:B13),"")</f>
        <v>11</v>
      </c>
      <c r="B13" s="2" t="s">
        <v>33</v>
      </c>
      <c r="C13" s="2"/>
      <c r="D13" s="2"/>
      <c r="E13" s="2"/>
      <c r="F13" s="2"/>
      <c r="G13" s="4"/>
      <c r="H13" s="2"/>
    </row>
    <row r="14" spans="1:18" x14ac:dyDescent="0.25">
      <c r="A14" s="2">
        <f>IFERROR(COUNTA($B$3:B14),"")</f>
        <v>12</v>
      </c>
      <c r="B14" s="2" t="s">
        <v>34</v>
      </c>
      <c r="C14" s="2"/>
      <c r="D14" s="2"/>
      <c r="E14" s="2"/>
      <c r="F14" s="2"/>
      <c r="G14" s="4"/>
      <c r="H14" s="2"/>
    </row>
    <row r="15" spans="1:18" x14ac:dyDescent="0.25">
      <c r="A15" s="2">
        <f>IFERROR(COUNTA($B$3:B15),"")</f>
        <v>13</v>
      </c>
      <c r="B15" s="2" t="s">
        <v>35</v>
      </c>
      <c r="C15" s="2"/>
      <c r="D15" s="2"/>
      <c r="E15" s="2"/>
      <c r="F15" s="2"/>
      <c r="G15" s="4"/>
      <c r="H15" s="2"/>
    </row>
    <row r="16" spans="1:18" x14ac:dyDescent="0.25">
      <c r="A16" s="2">
        <f>IFERROR(COUNTA($B$3:B16),"")</f>
        <v>14</v>
      </c>
      <c r="B16" t="s">
        <v>36</v>
      </c>
      <c r="C16" s="2">
        <v>24</v>
      </c>
      <c r="D16" s="2" t="s">
        <v>8</v>
      </c>
      <c r="E16" s="2">
        <v>1.75</v>
      </c>
      <c r="F16" s="2">
        <v>60</v>
      </c>
      <c r="G16" s="4">
        <f t="shared" si="0"/>
        <v>19.591836734693878</v>
      </c>
      <c r="H16" s="2" t="str">
        <f t="shared" si="1"/>
        <v> Normal</v>
      </c>
    </row>
    <row r="17" spans="1:8" x14ac:dyDescent="0.25">
      <c r="A17" s="2">
        <f>IFERROR(COUNTA($B$3:B17),"")</f>
        <v>15</v>
      </c>
      <c r="B17" s="2" t="s">
        <v>37</v>
      </c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</sheetData>
  <mergeCells count="1">
    <mergeCell ref="A1:H1"/>
  </mergeCells>
  <conditionalFormatting sqref="H1:H2 H17:H1048576">
    <cfRule type="expression" dxfId="15" priority="24">
      <formula>H2="Underweight"</formula>
    </cfRule>
  </conditionalFormatting>
  <conditionalFormatting sqref="H3:H16">
    <cfRule type="cellIs" dxfId="4" priority="2" operator="greaterThan">
      <formula>$N$6</formula>
    </cfRule>
    <cfRule type="cellIs" dxfId="3" priority="3" operator="equal">
      <formula>$N$5</formula>
    </cfRule>
    <cfRule type="cellIs" dxfId="2" priority="4" operator="equal">
      <formula>$N$4</formula>
    </cfRule>
    <cfRule type="cellIs" dxfId="1" priority="5" operator="equal">
      <formula>$N$3</formula>
    </cfRule>
    <cfRule type="expression" dxfId="0" priority="6">
      <formula>$H$3="Underweight"</formula>
    </cfRule>
  </conditionalFormatting>
  <conditionalFormatting sqref="H17:H25">
    <cfRule type="cellIs" dxfId="14" priority="17" operator="equal">
      <formula>18.5</formula>
    </cfRule>
    <cfRule type="expression" dxfId="13" priority="29">
      <formula>$H$3="Underweight"</formula>
    </cfRule>
  </conditionalFormatting>
  <conditionalFormatting sqref="H17:I25 I3:I16">
    <cfRule type="expression" dxfId="12" priority="27">
      <formula>H3:I3="Underweight"</formula>
    </cfRule>
  </conditionalFormatting>
  <conditionalFormatting sqref="I3:I16 H17:I25">
    <cfRule type="expression" dxfId="11" priority="28">
      <formula>$H$3:$I$3="Underweight"</formula>
    </cfRule>
  </conditionalFormatting>
  <conditionalFormatting sqref="J11">
    <cfRule type="cellIs" dxfId="10" priority="32" stopIfTrue="1" operator="equal">
      <formula>18.5</formula>
    </cfRule>
  </conditionalFormatting>
  <dataValidations count="2">
    <dataValidation type="list" allowBlank="1" showInputMessage="1" showErrorMessage="1" sqref="D3:D25" xr:uid="{AA6F0C20-B484-44C9-9B87-699F75148148}">
      <formula1>$R$2:$R$25</formula1>
    </dataValidation>
    <dataValidation type="list" allowBlank="1" showInputMessage="1" showErrorMessage="1" sqref="J3" xr:uid="{2DB0C916-A6EA-4F33-8287-2DA0F256FC35}">
      <formula1>$N$3:$N$6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E50F-D634-4A57-AC05-614F334341B7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59E1-F1DB-472D-AB18-CCF3F3050D0E}">
  <dimension ref="A1:F10"/>
  <sheetViews>
    <sheetView workbookViewId="0">
      <selection activeCell="H19" sqref="H19"/>
    </sheetView>
  </sheetViews>
  <sheetFormatPr defaultRowHeight="15.75" x14ac:dyDescent="0.25"/>
  <cols>
    <col min="2" max="2" width="11.875" bestFit="1" customWidth="1"/>
    <col min="3" max="3" width="12.375" bestFit="1" customWidth="1"/>
  </cols>
  <sheetData>
    <row r="1" spans="1:6" ht="18" x14ac:dyDescent="0.25">
      <c r="A1" s="8" t="s">
        <v>19</v>
      </c>
      <c r="B1" s="9"/>
      <c r="C1" s="9"/>
      <c r="D1" s="9"/>
      <c r="E1" s="9"/>
      <c r="F1" s="9"/>
    </row>
    <row r="2" spans="1:6" x14ac:dyDescent="0.25">
      <c r="A2" s="1" t="s">
        <v>1</v>
      </c>
      <c r="B2" s="1" t="s">
        <v>20</v>
      </c>
      <c r="C2" s="1" t="s">
        <v>21</v>
      </c>
    </row>
    <row r="3" spans="1:6" x14ac:dyDescent="0.25">
      <c r="A3" s="2" t="s">
        <v>25</v>
      </c>
      <c r="B3" s="4">
        <f>VLOOKUP(A3,'BMI Sheet 1'!$B$3:$H$18,6,FALSE)</f>
        <v>14.693877551020408</v>
      </c>
      <c r="C3" s="2"/>
    </row>
    <row r="4" spans="1:6" x14ac:dyDescent="0.25">
      <c r="A4" s="2" t="s">
        <v>26</v>
      </c>
      <c r="B4" s="4">
        <f>VLOOKUP(A4,'BMI Sheet 1'!$B$3:$H$18,6,FALSE)</f>
        <v>31.249999999999993</v>
      </c>
      <c r="C4" s="2"/>
    </row>
    <row r="5" spans="1:6" x14ac:dyDescent="0.25">
      <c r="A5" s="2" t="s">
        <v>32</v>
      </c>
      <c r="B5" s="4">
        <f>VLOOKUP(A5,'BMI Sheet 1'!$B$3:$H$18,6,FALSE)</f>
        <v>18.365472910927458</v>
      </c>
      <c r="C5" s="2"/>
    </row>
    <row r="6" spans="1:6" x14ac:dyDescent="0.25">
      <c r="A6" s="2" t="s">
        <v>36</v>
      </c>
      <c r="B6" s="4">
        <f>VLOOKUP(A6,'BMI Sheet 1'!$B$3:$H$18,6,FALSE)</f>
        <v>19.591836734693878</v>
      </c>
      <c r="C6" s="2"/>
    </row>
    <row r="7" spans="1:6" x14ac:dyDescent="0.25">
      <c r="A7" s="2"/>
      <c r="B7" s="2"/>
      <c r="C7" s="2"/>
    </row>
    <row r="8" spans="1:6" x14ac:dyDescent="0.25">
      <c r="A8" s="2"/>
      <c r="B8" s="2"/>
      <c r="C8" s="2"/>
    </row>
    <row r="9" spans="1:6" x14ac:dyDescent="0.25">
      <c r="A9" s="2"/>
      <c r="B9" s="2"/>
      <c r="C9" s="2"/>
    </row>
    <row r="10" spans="1:6" x14ac:dyDescent="0.25">
      <c r="A10" s="2"/>
      <c r="B10" s="2"/>
      <c r="C10" s="2"/>
    </row>
  </sheetData>
  <mergeCells count="1">
    <mergeCell ref="A1:F1"/>
  </mergeCells>
  <conditionalFormatting sqref="C3">
    <cfRule type="cellIs" dxfId="9" priority="5" operator="equal">
      <formula>$C$3</formula>
    </cfRule>
  </conditionalFormatting>
  <conditionalFormatting sqref="C4">
    <cfRule type="cellIs" dxfId="8" priority="4" operator="equal">
      <formula>$C$4</formula>
    </cfRule>
  </conditionalFormatting>
  <conditionalFormatting sqref="C5">
    <cfRule type="cellIs" dxfId="7" priority="1" operator="equal">
      <formula>$C$5</formula>
    </cfRule>
    <cfRule type="expression" dxfId="6" priority="6">
      <formula>IF(B5&lt;=C5,"Blue")</formula>
    </cfRule>
  </conditionalFormatting>
  <conditionalFormatting sqref="C6">
    <cfRule type="cellIs" dxfId="5" priority="2" operator="equal">
      <formula>$C$6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95A790-9C02-473C-A767-EB170AA71D0B}">
          <x14:formula1>
            <xm:f>'BMI Sheet 1'!$B$3:$B$17</xm:f>
          </x14:formula1>
          <xm:sqref>A3:A25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BMI Sheet 1</vt:lpstr>
      <vt:lpstr>Sheet1</vt:lpstr>
      <vt:lpstr>BMI Chart Visualization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chavan</dc:creator>
  <cp:lastModifiedBy>Dinesh </cp:lastModifiedBy>
  <dcterms:created xsi:type="dcterms:W3CDTF">2025-11-27T05:07:31Z</dcterms:created>
  <dcterms:modified xsi:type="dcterms:W3CDTF">2026-01-18T16:34:42Z</dcterms:modified>
</cp:coreProperties>
</file>